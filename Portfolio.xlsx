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ilu\Desktop\Tamir\MyProject\"/>
    </mc:Choice>
  </mc:AlternateContent>
  <xr:revisionPtr revIDLastSave="0" documentId="13_ncr:1_{218E1092-9A41-4297-BA7D-6DFFC4C6D4C7}" xr6:coauthVersionLast="47" xr6:coauthVersionMax="47" xr10:uidLastSave="{00000000-0000-0000-0000-000000000000}"/>
  <bookViews>
    <workbookView xWindow="-110" yWindow="-110" windowWidth="19420" windowHeight="10420" activeTab="1" xr2:uid="{1D709106-9E88-4947-951D-B8DF4EDFFE41}"/>
  </bookViews>
  <sheets>
    <sheet name="Holdings" sheetId="5" r:id="rId1"/>
    <sheet name="Snapshot_2025" sheetId="1" r:id="rId2"/>
    <sheet name="Transactions" sheetId="2" r:id="rId3"/>
    <sheet name="Options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2" l="1"/>
  <c r="K2" i="2" s="1"/>
  <c r="L12" i="5"/>
  <c r="K12" i="5"/>
  <c r="H12" i="5"/>
  <c r="L11" i="5"/>
  <c r="K11" i="5"/>
  <c r="H11" i="5"/>
  <c r="L10" i="5"/>
  <c r="K10" i="5"/>
  <c r="H10" i="5"/>
  <c r="L9" i="5"/>
  <c r="K9" i="5"/>
  <c r="H9" i="5"/>
  <c r="L8" i="5"/>
  <c r="K8" i="5"/>
  <c r="H8" i="5"/>
  <c r="L7" i="5"/>
  <c r="K7" i="5"/>
  <c r="H7" i="5"/>
  <c r="L6" i="5"/>
  <c r="K6" i="5"/>
  <c r="H6" i="5"/>
  <c r="L5" i="5"/>
  <c r="K5" i="5"/>
  <c r="H5" i="5"/>
  <c r="L4" i="5"/>
  <c r="K4" i="5"/>
  <c r="H4" i="5"/>
  <c r="L3" i="5"/>
  <c r="K3" i="5"/>
  <c r="H3" i="5"/>
  <c r="L2" i="5"/>
  <c r="K2" i="5"/>
  <c r="M5" i="5" s="1"/>
  <c r="H2" i="5"/>
  <c r="I3" i="4"/>
  <c r="O3" i="4" s="1"/>
  <c r="I4" i="4"/>
  <c r="O4" i="4" s="1"/>
  <c r="I5" i="4"/>
  <c r="O5" i="4" s="1"/>
  <c r="I2" i="4"/>
  <c r="O2" i="4" s="1"/>
  <c r="H2" i="1"/>
  <c r="G3" i="1"/>
  <c r="G4" i="1"/>
  <c r="G5" i="1"/>
  <c r="G6" i="1"/>
  <c r="G7" i="1"/>
  <c r="G8" i="1"/>
  <c r="G9" i="1"/>
  <c r="G10" i="1"/>
  <c r="G11" i="1"/>
  <c r="I11" i="1" s="1"/>
  <c r="G12" i="1"/>
  <c r="G13" i="1"/>
  <c r="G2" i="1"/>
  <c r="D13" i="1"/>
  <c r="D12" i="1"/>
  <c r="D11" i="1"/>
  <c r="H10" i="1"/>
  <c r="D10" i="1"/>
  <c r="D9" i="1"/>
  <c r="D8" i="1"/>
  <c r="D7" i="1"/>
  <c r="D6" i="1"/>
  <c r="H5" i="1"/>
  <c r="D5" i="1"/>
  <c r="D4" i="1"/>
  <c r="D3" i="1"/>
  <c r="D2" i="1"/>
  <c r="I7" i="1" l="1"/>
  <c r="I3" i="1"/>
  <c r="I9" i="1"/>
  <c r="I10" i="1"/>
  <c r="I6" i="1"/>
  <c r="I12" i="1"/>
  <c r="I8" i="1"/>
  <c r="I4" i="1"/>
  <c r="I2" i="1"/>
  <c r="I13" i="1"/>
  <c r="I5" i="1"/>
  <c r="M6" i="5"/>
  <c r="M10" i="5"/>
  <c r="M4" i="5"/>
  <c r="M8" i="5"/>
  <c r="M12" i="5"/>
  <c r="M3" i="5"/>
  <c r="M7" i="5"/>
  <c r="M11" i="5"/>
  <c r="M2" i="5"/>
  <c r="M9" i="5"/>
  <c r="I3" i="5"/>
  <c r="I5" i="5"/>
  <c r="I11" i="5"/>
  <c r="I10" i="5"/>
  <c r="I7" i="5"/>
  <c r="I9" i="5"/>
  <c r="I4" i="5"/>
  <c r="I8" i="5"/>
  <c r="I12" i="5"/>
  <c r="I2" i="5"/>
  <c r="I6" i="5"/>
  <c r="Q2" i="4"/>
  <c r="E12" i="1"/>
  <c r="E4" i="1"/>
  <c r="E8" i="1"/>
  <c r="E5" i="1"/>
  <c r="E9" i="1"/>
  <c r="E13" i="1"/>
  <c r="E2" i="1"/>
  <c r="E6" i="1"/>
  <c r="E10" i="1"/>
  <c r="E3" i="1"/>
  <c r="E7" i="1"/>
  <c r="E11" i="1"/>
  <c r="H13" i="1"/>
  <c r="H3" i="1"/>
  <c r="H9" i="1"/>
  <c r="H7" i="1"/>
  <c r="H4" i="1"/>
  <c r="H8" i="1"/>
  <c r="H11" i="1"/>
  <c r="H12" i="1"/>
  <c r="H6" i="1"/>
</calcChain>
</file>

<file path=xl/sharedStrings.xml><?xml version="1.0" encoding="utf-8"?>
<sst xmlns="http://schemas.openxmlformats.org/spreadsheetml/2006/main" count="147" uniqueCount="98">
  <si>
    <t>Company</t>
  </si>
  <si>
    <t>Avg Cost/Share</t>
  </si>
  <si>
    <t>Current quantity</t>
  </si>
  <si>
    <t xml:space="preserve">Cost </t>
  </si>
  <si>
    <t>Current Price</t>
  </si>
  <si>
    <t>Overall Yield %</t>
  </si>
  <si>
    <t>Current Capital USD</t>
  </si>
  <si>
    <t>Symbol</t>
  </si>
  <si>
    <t>CAD</t>
  </si>
  <si>
    <t>Date</t>
  </si>
  <si>
    <t>% , Current</t>
  </si>
  <si>
    <t>% , Cost basis</t>
  </si>
  <si>
    <t>Quant</t>
  </si>
  <si>
    <t>Buy dates</t>
  </si>
  <si>
    <t>Sell date</t>
  </si>
  <si>
    <t>Buy price</t>
  </si>
  <si>
    <t>Sell price</t>
  </si>
  <si>
    <t>profit $</t>
  </si>
  <si>
    <t>Yield</t>
  </si>
  <si>
    <t>Digi Power X Inc. (DGXX)</t>
  </si>
  <si>
    <t>Innoviz Technologies Ltd. (INVZ)</t>
  </si>
  <si>
    <t>Intel Corporation (INTC)</t>
  </si>
  <si>
    <t>Advanced Micro Devices, Inc. (AMD)</t>
  </si>
  <si>
    <t>Nabors Industries Ltd. (NBR)</t>
  </si>
  <si>
    <t>SolarEdge Technologies, Inc. (SEDG)</t>
  </si>
  <si>
    <t>Oroco Resource Corp. (OCO.V)</t>
  </si>
  <si>
    <t>Apple Inc. (AAPL)</t>
  </si>
  <si>
    <t>Quantum Computing Inc. (QUBT)</t>
  </si>
  <si>
    <t>iShares Semiconductor ETF (SOXX)</t>
  </si>
  <si>
    <t>iShares Copper and Metals Mining ETF (ICOP)</t>
  </si>
  <si>
    <t>NVIDIA Corporation - (NVDA)</t>
  </si>
  <si>
    <t>INTC</t>
  </si>
  <si>
    <t>01.05.2025</t>
  </si>
  <si>
    <t>Type</t>
  </si>
  <si>
    <t>Action</t>
  </si>
  <si>
    <t>Strike</t>
  </si>
  <si>
    <t>Expiration Date</t>
  </si>
  <si>
    <t>Quantity</t>
  </si>
  <si>
    <t>Price</t>
  </si>
  <si>
    <t>Total Cost/Credit</t>
  </si>
  <si>
    <t>Commissions Open</t>
  </si>
  <si>
    <t>Exit Date</t>
  </si>
  <si>
    <t>Exit Price</t>
  </si>
  <si>
    <t>Commissions Close</t>
  </si>
  <si>
    <t>Net P&amp;L</t>
  </si>
  <si>
    <t>08.01.2026</t>
  </si>
  <si>
    <t>SEDG</t>
  </si>
  <si>
    <t>Call</t>
  </si>
  <si>
    <t>Sell</t>
  </si>
  <si>
    <t>30.01.2026</t>
  </si>
  <si>
    <t>06.02.2026</t>
  </si>
  <si>
    <t>12.02.2026</t>
  </si>
  <si>
    <t>00/01/1900</t>
  </si>
  <si>
    <t>20.02.2026</t>
  </si>
  <si>
    <t>06.03.2026</t>
  </si>
  <si>
    <t>13.02.2026</t>
  </si>
  <si>
    <t>27.02.2026</t>
  </si>
  <si>
    <t>02.03.2026</t>
  </si>
  <si>
    <t>13.03.2026</t>
  </si>
  <si>
    <t>Total Profit</t>
  </si>
  <si>
    <t>Asset Type</t>
  </si>
  <si>
    <t>Exchange</t>
  </si>
  <si>
    <t>Currency</t>
  </si>
  <si>
    <t>NVIDIA Corporation</t>
  </si>
  <si>
    <t>NVDA</t>
  </si>
  <si>
    <t>DGXX</t>
  </si>
  <si>
    <t>INVZ</t>
  </si>
  <si>
    <t>AMD</t>
  </si>
  <si>
    <t>NBR</t>
  </si>
  <si>
    <t>OCO.V</t>
  </si>
  <si>
    <t>AAPL</t>
  </si>
  <si>
    <t>QUBT</t>
  </si>
  <si>
    <t>SOXX</t>
  </si>
  <si>
    <t>ICOP</t>
  </si>
  <si>
    <t>STOCK</t>
  </si>
  <si>
    <t>ETF</t>
  </si>
  <si>
    <t>NASDAQ</t>
  </si>
  <si>
    <t>USD</t>
  </si>
  <si>
    <t>NYSE</t>
  </si>
  <si>
    <t>CVE</t>
  </si>
  <si>
    <t>Fees</t>
  </si>
  <si>
    <t>Underlying Symbol</t>
  </si>
  <si>
    <t>Status</t>
  </si>
  <si>
    <t>Expired</t>
  </si>
  <si>
    <t>Closed</t>
  </si>
  <si>
    <t>Open</t>
  </si>
  <si>
    <t>Symbol2</t>
  </si>
  <si>
    <t>ID</t>
  </si>
  <si>
    <t>Apple Inc.</t>
  </si>
  <si>
    <t>iShares Semiconductor ETF</t>
  </si>
  <si>
    <t>Quantum Computing Inc</t>
  </si>
  <si>
    <t>iShares Copper and Metals Mining ETF</t>
  </si>
  <si>
    <t>Oroco Resource Corp</t>
  </si>
  <si>
    <t>SolarEdge Technologies, Inc</t>
  </si>
  <si>
    <t>Nabors Industries Ltd</t>
  </si>
  <si>
    <t>Advanced Micro Devices, Inc</t>
  </si>
  <si>
    <t>Innoviz Technologies Ltd</t>
  </si>
  <si>
    <t>Digi Power X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</si>
</sst>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$-409]#,##0.00"/>
    <numFmt numFmtId="165" formatCode="_([$$-409]* #,##0.00_);_([$$-409]* \(#,##0.00\);_([$$-409]* &quot;-&quot;??_);_(@_)"/>
    <numFmt numFmtId="166" formatCode="_-[$$-409]* #,##0.00_ ;_-[$$-409]* \-#,##0.00\ ;_-[$$-409]* &quot;-&quot;??_ ;_-@_ "/>
    <numFmt numFmtId="167" formatCode="0.0%"/>
    <numFmt numFmtId="168" formatCode="[$CAD]\ #,##0.00"/>
    <numFmt numFmtId="169" formatCode="[$$-409]#,##0.0"/>
    <numFmt numFmtId="170" formatCode="[$-1010000]d\.m\.yyyy;@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77"/>
      <scheme val="minor"/>
    </font>
    <font>
      <b/>
      <sz val="11"/>
      <color rgb="FF232A31"/>
      <name val="Arial"/>
      <family val="2"/>
      <charset val="177"/>
    </font>
    <font>
      <sz val="8"/>
      <name val="Calibri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8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0" xfId="0" applyNumberFormat="1"/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2" borderId="2" xfId="0" applyNumberFormat="1" applyFill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0" fontId="0" fillId="0" borderId="1" xfId="0" applyBorder="1"/>
    <xf numFmtId="0" fontId="5" fillId="0" borderId="0" xfId="0" applyFont="1" applyAlignment="1">
      <alignment horizontal="center"/>
    </xf>
    <xf numFmtId="9" fontId="0" fillId="0" borderId="0" xfId="1" applyFont="1" applyAlignment="1">
      <alignment horizontal="center"/>
    </xf>
    <xf numFmtId="10" fontId="0" fillId="0" borderId="0" xfId="1" applyNumberFormat="1" applyFont="1" applyAlignment="1" applyProtection="1">
      <alignment horizontal="center"/>
    </xf>
    <xf numFmtId="164" fontId="4" fillId="0" borderId="0" xfId="0" applyNumberFormat="1" applyFont="1" applyAlignment="1">
      <alignment horizontal="center"/>
    </xf>
    <xf numFmtId="167" fontId="0" fillId="0" borderId="0" xfId="1" applyNumberFormat="1" applyFont="1" applyAlignment="1" applyProtection="1">
      <alignment horizontal="center"/>
    </xf>
    <xf numFmtId="166" fontId="0" fillId="0" borderId="0" xfId="0" applyNumberFormat="1"/>
    <xf numFmtId="0" fontId="6" fillId="0" borderId="0" xfId="0" applyFont="1" applyAlignment="1">
      <alignment vertical="center" wrapText="1"/>
    </xf>
    <xf numFmtId="170" fontId="0" fillId="0" borderId="0" xfId="0" applyNumberFormat="1" applyAlignment="1">
      <alignment horizontal="center"/>
    </xf>
    <xf numFmtId="170" fontId="0" fillId="0" borderId="0" xfId="0" applyNumberFormat="1"/>
    <xf numFmtId="169" fontId="0" fillId="0" borderId="0" xfId="0" applyNumberFormat="1"/>
    <xf numFmtId="0" fontId="3" fillId="3" borderId="3" xfId="0" applyFont="1" applyFill="1" applyBorder="1" applyAlignment="1">
      <alignment horizontal="center"/>
    </xf>
    <xf numFmtId="164" fontId="0" fillId="0" borderId="4" xfId="0" applyNumberFormat="1" applyBorder="1"/>
    <xf numFmtId="164" fontId="0" fillId="0" borderId="2" xfId="0" applyNumberForma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wrapText="1"/>
    </xf>
    <xf numFmtId="165" fontId="0" fillId="0" borderId="2" xfId="0" applyNumberFormat="1" applyBorder="1" applyAlignment="1">
      <alignment horizontal="center" wrapText="1"/>
    </xf>
    <xf numFmtId="166" fontId="0" fillId="2" borderId="2" xfId="0" applyNumberFormat="1" applyFill="1" applyBorder="1" applyAlignment="1">
      <alignment horizontal="center" wrapText="1"/>
    </xf>
    <xf numFmtId="10" fontId="0" fillId="0" borderId="2" xfId="0" applyNumberFormat="1" applyBorder="1" applyAlignment="1">
      <alignment horizontal="center" wrapText="1"/>
    </xf>
    <xf numFmtId="167" fontId="0" fillId="0" borderId="2" xfId="0" applyNumberFormat="1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5" fontId="0" fillId="0" borderId="1" xfId="0" applyNumberFormat="1" applyBorder="1" applyAlignment="1">
      <alignment horizontal="center" wrapText="1"/>
    </xf>
    <xf numFmtId="166" fontId="0" fillId="2" borderId="1" xfId="0" applyNumberFormat="1" applyFill="1" applyBorder="1" applyAlignment="1">
      <alignment horizont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164" fontId="0" fillId="0" borderId="11" xfId="0" applyNumberFormat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1" xfId="0" applyBorder="1" applyAlignment="1">
      <alignment wrapText="1"/>
    </xf>
    <xf numFmtId="165" fontId="0" fillId="0" borderId="11" xfId="0" applyNumberFormat="1" applyBorder="1" applyAlignment="1">
      <alignment horizontal="center" wrapText="1"/>
    </xf>
    <xf numFmtId="166" fontId="0" fillId="2" borderId="11" xfId="0" applyNumberFormat="1" applyFill="1" applyBorder="1" applyAlignment="1">
      <alignment horizontal="center" wrapText="1"/>
    </xf>
    <xf numFmtId="10" fontId="0" fillId="0" borderId="8" xfId="0" applyNumberFormat="1" applyBorder="1" applyAlignment="1">
      <alignment horizontal="center" wrapText="1"/>
    </xf>
    <xf numFmtId="167" fontId="0" fillId="0" borderId="8" xfId="0" applyNumberFormat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4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70" formatCode="[$-1010000]d\.m\.yyyy;@"/>
    </dxf>
    <dxf>
      <numFmt numFmtId="164" formatCode="[$$-409]#,##0.00"/>
    </dxf>
    <dxf>
      <numFmt numFmtId="169" formatCode="[$$-409]#,##0.0"/>
    </dxf>
    <dxf>
      <numFmt numFmtId="164" formatCode="[$$-409]#,##0.00"/>
    </dxf>
    <dxf>
      <numFmt numFmtId="170" formatCode="[$-1010000]d\.m\.yyyy;@"/>
    </dxf>
    <dxf>
      <numFmt numFmtId="164" formatCode="[$$-409]#,##0.00"/>
    </dxf>
    <dxf>
      <numFmt numFmtId="164" formatCode="[$$-409]#,##0.00"/>
    </dxf>
    <dxf>
      <numFmt numFmtId="13" formatCode="0%"/>
    </dxf>
    <dxf>
      <numFmt numFmtId="164" formatCode="[$$-409]#,##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77"/>
        <scheme val="minor"/>
      </font>
      <alignment horizontal="center" vertical="bottom" textRotation="0" wrapText="0" indent="0" justifyLastLine="0" shrinkToFit="0" readingOrder="0"/>
    </dxf>
    <dxf>
      <numFmt numFmtId="167" formatCode="0.0%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66" formatCode="_-[$$-409]* #,##0.00_ ;_-[$$-409]* \-#,##0.00\ ;_-[$$-409]* &quot;-&quot;??_ ;_-@_ "/>
      <fill>
        <patternFill patternType="solid">
          <fgColor indexed="64"/>
          <bgColor theme="9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([$$-409]* #,##0.00_);_([$$-409]* \(#,##0.00\);_([$$-409]* &quot;-&quot;??_);_(@_)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$-409]#,##0.0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$-409]#,##0.0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66" formatCode="_-[$$-409]* #,##0.00_ ;_-[$$-409]* \-#,##0.00\ ;_-[$$-409]* &quot;-&quot;??_ ;_-@_ 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([$$-409]* #,##0.00_);_([$$-409]* \(#,##0.00\);_([$$-409]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$-409]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$-409]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32A31"/>
        <name val="Arial"/>
        <family val="2"/>
        <charset val="177"/>
        <scheme val="none"/>
      </font>
      <alignment horizontal="general" vertical="center" textRotation="0" wrapText="1" indent="0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EF9278-9715-496E-BD6E-E8E841BCE3F4}" name="טבלה3" displayName="טבלה3" ref="A1:M12" totalsRowShown="0" headerRowDxfId="36" tableBorderDxfId="35">
  <autoFilter ref="A1:M12" xr:uid="{E5EF9278-9715-496E-BD6E-E8E841BCE3F4}"/>
  <tableColumns count="13">
    <tableColumn id="1" xr3:uid="{AB5A96C9-0900-4059-A859-8D08B6B7914B}" name="Company" dataDxfId="34"/>
    <tableColumn id="2" xr3:uid="{7B406425-DF2F-4059-A2F8-3AA4CC4E60E7}" name="Symbol" dataDxfId="33"/>
    <tableColumn id="3" xr3:uid="{96BB8F90-26FA-4228-BBEF-8049EE1BB74C}" name="Asset Type" dataDxfId="32"/>
    <tableColumn id="4" xr3:uid="{DCDD57EC-AFE3-4E66-BC0A-5708CFDC47DC}" name="Exchange" dataDxfId="31"/>
    <tableColumn id="5" xr3:uid="{6B686700-3A9D-4F11-8FBE-3227E94D0FC1}" name="Currency" dataDxfId="30"/>
    <tableColumn id="6" xr3:uid="{EBA9017A-0F2B-4CB0-A604-E1683B349C21}" name="Avg Cost/Share" dataDxfId="29"/>
    <tableColumn id="7" xr3:uid="{4E9DD3FC-83AF-487F-98F3-2BF8F576DD70}" name="Current quantity" dataDxfId="28"/>
    <tableColumn id="8" xr3:uid="{0BAE522C-B46F-4B9D-B408-790129221732}" name="Cost " dataDxfId="27">
      <calculatedColumnFormula>F2*G2</calculatedColumnFormula>
    </tableColumn>
    <tableColumn id="9" xr3:uid="{DE0DA6FA-F409-4A01-8578-F792395DB796}" name="% , Cost basis" dataDxfId="26"/>
    <tableColumn id="10" xr3:uid="{2FE270D6-C64D-462D-988C-6568C6F699DA}" name="Current Price" dataDxfId="25"/>
    <tableColumn id="11" xr3:uid="{CB90F57A-1FAE-4B26-948F-6B3D09D99A84}" name="Current Capital USD" dataDxfId="24">
      <calculatedColumnFormula>G2*J2</calculatedColumnFormula>
    </tableColumn>
    <tableColumn id="12" xr3:uid="{0AFEFB24-ACB1-4D36-B200-320B699BA123}" name="Overall Yield %" dataDxfId="23">
      <calculatedColumnFormula>(J2-F2)/F2</calculatedColumnFormula>
    </tableColumn>
    <tableColumn id="13" xr3:uid="{28B09B67-CF28-402B-8399-397F67521801}" name="% , Current" dataDxfId="22">
      <calculatedColumnFormula>K2/(SUM(K:K))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C77B28-6A58-49CC-BFA4-517408EB029D}" name="טבלה4" displayName="טבלה4" ref="A1:I13" totalsRowShown="0" headerRowDxfId="47" tableBorderDxfId="46">
  <autoFilter ref="A1:I13" xr:uid="{77C77B28-6A58-49CC-BFA4-517408EB029D}"/>
  <tableColumns count="9">
    <tableColumn id="2" xr3:uid="{8A88AF33-3339-4C62-B916-43F04116E489}" name="Company" dataDxfId="45"/>
    <tableColumn id="3" xr3:uid="{D874A86D-10B8-4B78-8DE7-3EB0D4CD8CBD}" name="Avg Cost/Share" dataDxfId="44"/>
    <tableColumn id="4" xr3:uid="{6C3F28ED-DABC-4BFA-8D6D-6A17C4DFA307}" name="Current quantity" dataDxfId="43"/>
    <tableColumn id="5" xr3:uid="{46A72A7C-B822-44CD-B81E-468DFA163F7E}" name="Cost " dataDxfId="42">
      <calculatedColumnFormula>B2*C2</calculatedColumnFormula>
    </tableColumn>
    <tableColumn id="6" xr3:uid="{7E1F8321-CAFA-453D-8EFA-A95765C9127A}" name="% , Cost basis" dataDxfId="41"/>
    <tableColumn id="7" xr3:uid="{2BEC94BB-3238-4C91-86A3-3B3E3A9CD1F0}" name="Current Price" dataDxfId="40"/>
    <tableColumn id="8" xr3:uid="{32F76F60-5011-48F9-B0A6-852E959AF004}" name="Current Capital USD" dataDxfId="39">
      <calculatedColumnFormula>C2*F2</calculatedColumnFormula>
    </tableColumn>
    <tableColumn id="9" xr3:uid="{5ED491D2-8E07-4485-9A7C-975728DDE394}" name="Overall Yield %" dataDxfId="38">
      <calculatedColumnFormula>(F2-B2)/B2</calculatedColumnFormula>
    </tableColumn>
    <tableColumn id="10" xr3:uid="{AF0A63F0-627E-4E4E-BE2C-5F5B6AFFD845}" name="% , Current" dataDxfId="37">
      <calculatedColumnFormula>G2/SUM(G:G)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1325A4-06A0-4EEE-A32A-B7496018DECA}" name="טבלה2" displayName="טבלה2" ref="A1:K2" totalsRowShown="0" headerRowDxfId="21">
  <autoFilter ref="A1:K2" xr:uid="{7B1325A4-06A0-4EEE-A32A-B7496018DECA}"/>
  <tableColumns count="11">
    <tableColumn id="1" xr3:uid="{301DCF6D-D946-448E-9742-F204AC5A2313}" name="ID" dataDxfId="20"/>
    <tableColumn id="11" xr3:uid="{A314C2DE-2E5F-46ED-BF2E-398BADEBA13D}" name="Symbol2" dataDxfId="19"/>
    <tableColumn id="9" xr3:uid="{5D64D212-3BD7-4DDB-9DEA-67B3731C40F6}" name="Type" dataDxfId="18"/>
    <tableColumn id="2" xr3:uid="{3E4DA6B5-BFE1-4936-A5C8-10DF815D1C2A}" name="Quant" dataDxfId="17"/>
    <tableColumn id="3" xr3:uid="{C014BE5E-6ECF-4939-BB8C-425635A32DCD}" name="Buy dates"/>
    <tableColumn id="4" xr3:uid="{12062095-3735-4713-BD3F-86260426C2C4}" name="Sell date"/>
    <tableColumn id="5" xr3:uid="{3275350F-20FF-495B-BA26-84106FC0364D}" name="Buy price"/>
    <tableColumn id="6" xr3:uid="{F0EB519B-218A-4BD9-B2C0-467A811055CB}" name="Sell price"/>
    <tableColumn id="10" xr3:uid="{FB001523-4506-4109-97C4-F8A5FEC9A0E4}" name="Fees"/>
    <tableColumn id="7" xr3:uid="{74A3A264-B835-41B7-A847-42DA8D84BB4F}" name="profit $" dataDxfId="16">
      <calculatedColumnFormula>(H2*D2)-(G2*D2)-I2</calculatedColumnFormula>
    </tableColumn>
    <tableColumn id="8" xr3:uid="{6FE35C54-725A-4B4E-BF35-71EE5A5EED2F}" name="Yield" dataDxfId="15">
      <calculatedColumnFormula>J2/(G2*D2)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FBACD6-A964-43F9-BF48-D4F34859E857}" name="טבלה1" displayName="טבלה1" ref="A1:O5" totalsRowShown="0" headerRowDxfId="14">
  <autoFilter ref="A1:O5" xr:uid="{BBFBACD6-A964-43F9-BF48-D4F34859E857}"/>
  <tableColumns count="15">
    <tableColumn id="1" xr3:uid="{DE466FA9-B4F7-4566-80DC-C9A043DCB0F7}" name="Underlying Symbol"/>
    <tableColumn id="14" xr3:uid="{F2ED895E-E032-4F79-87B4-3EFE49DF7764}" name="Date"/>
    <tableColumn id="2" xr3:uid="{DA892953-3464-4B88-AF7B-A9EC05B38C22}" name="Type"/>
    <tableColumn id="3" xr3:uid="{4CADC86E-1D05-4F22-B41F-7CF0850F14A4}" name="Action"/>
    <tableColumn id="4" xr3:uid="{1A317E1C-08A4-4D61-A073-20A1E05CEA57}" name="Strike" dataDxfId="13"/>
    <tableColumn id="5" xr3:uid="{390805C7-D5D4-4A1D-964C-1B112562F5BA}" name="Expiration Date" dataDxfId="12"/>
    <tableColumn id="6" xr3:uid="{DB2FB841-67A3-4BAD-855C-5F859DB4C29A}" name="Quantity"/>
    <tableColumn id="7" xr3:uid="{E35F36FD-0AC8-4941-BB95-6FCB9ABE362E}" name="Price" dataDxfId="11"/>
    <tableColumn id="8" xr3:uid="{FA0BF4B9-A3CF-4429-A108-FCBB8CA002E2}" name="Total Cost/Credit" dataDxfId="10">
      <calculatedColumnFormula>H2*G2*100</calculatedColumnFormula>
    </tableColumn>
    <tableColumn id="9" xr3:uid="{436D4EEC-66D5-4CA6-A3E0-3D37B2FF0754}" name="Commissions Open" dataDxfId="9"/>
    <tableColumn id="10" xr3:uid="{EDEF8DD3-9435-4074-8503-2217AC125487}" name="Exit Date" dataDxfId="8"/>
    <tableColumn id="11" xr3:uid="{C5B72CDB-285E-47A4-8762-9035482A7135}" name="Exit Price" dataDxfId="7"/>
    <tableColumn id="12" xr3:uid="{B9500A12-4C1F-45D5-B358-B0A9AFA59532}" name="Commissions Close" dataDxfId="6"/>
    <tableColumn id="15" xr3:uid="{92321CAD-4341-4B94-B3F2-3CC2DB51E8A4}" name="Status" dataDxfId="5"/>
    <tableColumn id="13" xr3:uid="{14FBC408-D687-415A-AA80-088EFF3C8F0C}" name="Net P&amp;L" dataDxfId="4">
      <calculatedColumnFormula>I2-J2-(L2*100*G2)-M2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BE83D-ED19-4770-966E-785A70084025}">
  <dimension ref="A1:M12"/>
  <sheetViews>
    <sheetView workbookViewId="0">
      <selection activeCell="C17" sqref="C17"/>
    </sheetView>
  </sheetViews>
  <sheetFormatPr defaultRowHeight="14.5" x14ac:dyDescent="0.35"/>
  <cols>
    <col min="1" max="1" width="23.26953125" bestFit="1" customWidth="1"/>
    <col min="2" max="5" width="23.26953125" customWidth="1"/>
    <col min="6" max="6" width="13.453125" customWidth="1"/>
    <col min="7" max="7" width="14.1796875" customWidth="1"/>
    <col min="9" max="9" width="11.90625" customWidth="1"/>
    <col min="10" max="10" width="11.7265625" customWidth="1"/>
    <col min="11" max="11" width="16.36328125" customWidth="1"/>
    <col min="12" max="12" width="12.81640625" customWidth="1"/>
    <col min="13" max="13" width="10.36328125" customWidth="1"/>
  </cols>
  <sheetData>
    <row r="1" spans="1:13" ht="15" thickBot="1" x14ac:dyDescent="0.4">
      <c r="A1" s="45" t="s">
        <v>0</v>
      </c>
      <c r="B1" s="46" t="s">
        <v>7</v>
      </c>
      <c r="C1" s="46" t="s">
        <v>60</v>
      </c>
      <c r="D1" s="46" t="s">
        <v>61</v>
      </c>
      <c r="E1" s="46" t="s">
        <v>62</v>
      </c>
      <c r="F1" s="47" t="s">
        <v>1</v>
      </c>
      <c r="G1" s="47" t="s">
        <v>2</v>
      </c>
      <c r="H1" s="47" t="s">
        <v>3</v>
      </c>
      <c r="I1" s="48" t="s">
        <v>11</v>
      </c>
      <c r="J1" s="47" t="s">
        <v>4</v>
      </c>
      <c r="K1" s="47" t="s">
        <v>6</v>
      </c>
      <c r="L1" s="47" t="s">
        <v>5</v>
      </c>
      <c r="M1" s="49" t="s">
        <v>10</v>
      </c>
    </row>
    <row r="2" spans="1:13" x14ac:dyDescent="0.35">
      <c r="A2" s="44" t="s">
        <v>63</v>
      </c>
      <c r="B2" s="31" t="s">
        <v>64</v>
      </c>
      <c r="C2" s="31" t="s">
        <v>74</v>
      </c>
      <c r="D2" s="31" t="s">
        <v>76</v>
      </c>
      <c r="E2" s="31" t="s">
        <v>77</v>
      </c>
      <c r="F2" s="30">
        <v>85.38</v>
      </c>
      <c r="G2" s="31">
        <v>39</v>
      </c>
      <c r="H2" s="30">
        <f t="shared" ref="H2:H12" si="0">F2*G2</f>
        <v>3329.8199999999997</v>
      </c>
      <c r="I2" s="32">
        <f>H2/SUM(H2:H12)</f>
        <v>0.12729170911545828</v>
      </c>
      <c r="J2" s="33">
        <v>185.81</v>
      </c>
      <c r="K2" s="34">
        <f>G2*J2</f>
        <v>7246.59</v>
      </c>
      <c r="L2" s="35">
        <f t="shared" ref="L2:L12" si="1">(J2-F2)/F2</f>
        <v>1.1762707894120403</v>
      </c>
      <c r="M2" s="36">
        <f>K2/(SUM(K:K))</f>
        <v>0.18260021594761822</v>
      </c>
    </row>
    <row r="3" spans="1:13" x14ac:dyDescent="0.35">
      <c r="A3" s="44" t="s">
        <v>97</v>
      </c>
      <c r="B3" s="31" t="s">
        <v>65</v>
      </c>
      <c r="C3" s="31" t="s">
        <v>74</v>
      </c>
      <c r="D3" s="31" t="s">
        <v>76</v>
      </c>
      <c r="E3" s="31" t="s">
        <v>77</v>
      </c>
      <c r="F3" s="37">
        <v>2.2999999999999998</v>
      </c>
      <c r="G3" s="38">
        <v>700</v>
      </c>
      <c r="H3" s="37">
        <f t="shared" si="0"/>
        <v>1609.9999999999998</v>
      </c>
      <c r="I3" s="32">
        <f>H3/SUM(H2:H12)</f>
        <v>6.1546765793913126E-2</v>
      </c>
      <c r="J3" s="39">
        <v>3.15</v>
      </c>
      <c r="K3" s="40">
        <f t="shared" ref="K3:K12" si="2">G3*J3</f>
        <v>2205</v>
      </c>
      <c r="L3" s="35">
        <f t="shared" si="1"/>
        <v>0.36956521739130443</v>
      </c>
      <c r="M3" s="36">
        <f t="shared" ref="M3:M12" si="3">K3/(SUM(K:K))</f>
        <v>5.5561785082983602E-2</v>
      </c>
    </row>
    <row r="4" spans="1:13" x14ac:dyDescent="0.35">
      <c r="A4" s="44" t="s">
        <v>96</v>
      </c>
      <c r="B4" s="31" t="s">
        <v>66</v>
      </c>
      <c r="C4" s="31" t="s">
        <v>74</v>
      </c>
      <c r="D4" s="31" t="s">
        <v>76</v>
      </c>
      <c r="E4" s="31" t="s">
        <v>77</v>
      </c>
      <c r="F4" s="37">
        <v>1.33</v>
      </c>
      <c r="G4" s="38">
        <v>5000</v>
      </c>
      <c r="H4" s="37">
        <f t="shared" si="0"/>
        <v>6650</v>
      </c>
      <c r="I4" s="32">
        <f>H4/SUM(H2:H12)</f>
        <v>0.2542149021922499</v>
      </c>
      <c r="J4" s="39">
        <v>1.08</v>
      </c>
      <c r="K4" s="40">
        <f t="shared" si="2"/>
        <v>5400</v>
      </c>
      <c r="L4" s="35">
        <f t="shared" si="1"/>
        <v>-0.18796992481203006</v>
      </c>
      <c r="M4" s="36">
        <f t="shared" si="3"/>
        <v>0.13606967775424555</v>
      </c>
    </row>
    <row r="5" spans="1:13" ht="29" x14ac:dyDescent="0.35">
      <c r="A5" s="44" t="s">
        <v>95</v>
      </c>
      <c r="B5" s="31" t="s">
        <v>67</v>
      </c>
      <c r="C5" s="31" t="s">
        <v>74</v>
      </c>
      <c r="D5" s="31" t="s">
        <v>76</v>
      </c>
      <c r="E5" s="31" t="s">
        <v>77</v>
      </c>
      <c r="F5" s="37">
        <v>160.43</v>
      </c>
      <c r="G5" s="38">
        <v>7</v>
      </c>
      <c r="H5" s="37">
        <f t="shared" si="0"/>
        <v>1123.01</v>
      </c>
      <c r="I5" s="32">
        <f>H5/SUM(H2:H12)</f>
        <v>4.2930207114423843E-2</v>
      </c>
      <c r="J5" s="39">
        <v>220.97</v>
      </c>
      <c r="K5" s="40">
        <f t="shared" si="2"/>
        <v>1546.79</v>
      </c>
      <c r="L5" s="35">
        <f t="shared" si="1"/>
        <v>0.37736084273514919</v>
      </c>
      <c r="M5" s="36">
        <f t="shared" si="3"/>
        <v>3.8976151269164719E-2</v>
      </c>
    </row>
    <row r="6" spans="1:13" x14ac:dyDescent="0.35">
      <c r="A6" s="44" t="s">
        <v>94</v>
      </c>
      <c r="B6" s="31" t="s">
        <v>68</v>
      </c>
      <c r="C6" s="31" t="s">
        <v>74</v>
      </c>
      <c r="D6" s="31" t="s">
        <v>78</v>
      </c>
      <c r="E6" s="31" t="s">
        <v>77</v>
      </c>
      <c r="F6" s="37">
        <v>32.270000000000003</v>
      </c>
      <c r="G6" s="42">
        <v>45</v>
      </c>
      <c r="H6" s="41">
        <f t="shared" si="0"/>
        <v>1452.15</v>
      </c>
      <c r="I6" s="32">
        <f>H6/SUM(H2:H12)</f>
        <v>5.5512506799770787E-2</v>
      </c>
      <c r="J6" s="39">
        <v>62.2</v>
      </c>
      <c r="K6" s="40">
        <f t="shared" si="2"/>
        <v>2799</v>
      </c>
      <c r="L6" s="35">
        <f t="shared" si="1"/>
        <v>0.92748682987294695</v>
      </c>
      <c r="M6" s="36">
        <f t="shared" si="3"/>
        <v>7.0529449635950606E-2</v>
      </c>
    </row>
    <row r="7" spans="1:13" ht="29" x14ac:dyDescent="0.35">
      <c r="A7" s="44" t="s">
        <v>93</v>
      </c>
      <c r="B7" s="31" t="s">
        <v>46</v>
      </c>
      <c r="C7" s="31" t="s">
        <v>74</v>
      </c>
      <c r="D7" s="31" t="s">
        <v>76</v>
      </c>
      <c r="E7" s="31" t="s">
        <v>77</v>
      </c>
      <c r="F7" s="37">
        <v>14.31</v>
      </c>
      <c r="G7" s="42">
        <v>200</v>
      </c>
      <c r="H7" s="41">
        <f t="shared" si="0"/>
        <v>2862</v>
      </c>
      <c r="I7" s="32">
        <f>H7/SUM(H2:H12)</f>
        <v>0.10940797745476981</v>
      </c>
      <c r="J7" s="39">
        <v>34.31</v>
      </c>
      <c r="K7" s="40">
        <f t="shared" si="2"/>
        <v>6862</v>
      </c>
      <c r="L7" s="35">
        <f t="shared" si="1"/>
        <v>1.3976240391334731</v>
      </c>
      <c r="M7" s="36">
        <f t="shared" si="3"/>
        <v>0.17290928310178388</v>
      </c>
    </row>
    <row r="8" spans="1:13" x14ac:dyDescent="0.35">
      <c r="A8" s="44" t="s">
        <v>92</v>
      </c>
      <c r="B8" s="31" t="s">
        <v>69</v>
      </c>
      <c r="C8" s="31" t="s">
        <v>74</v>
      </c>
      <c r="D8" s="31" t="s">
        <v>79</v>
      </c>
      <c r="E8" s="31" t="s">
        <v>8</v>
      </c>
      <c r="F8" s="37">
        <v>0.23</v>
      </c>
      <c r="G8" s="42">
        <v>7660</v>
      </c>
      <c r="H8" s="43">
        <f t="shared" si="0"/>
        <v>1761.8000000000002</v>
      </c>
      <c r="I8" s="32">
        <f>H8/SUM(H2:H12)</f>
        <v>6.7349746568767813E-2</v>
      </c>
      <c r="J8" s="39">
        <v>0.45250000000000001</v>
      </c>
      <c r="K8" s="40">
        <f t="shared" si="2"/>
        <v>3466.15</v>
      </c>
      <c r="L8" s="35">
        <f t="shared" si="1"/>
        <v>0.96739130434782605</v>
      </c>
      <c r="M8" s="36">
        <f t="shared" si="3"/>
        <v>8.7340354360718186E-2</v>
      </c>
    </row>
    <row r="9" spans="1:13" x14ac:dyDescent="0.35">
      <c r="A9" s="44" t="s">
        <v>88</v>
      </c>
      <c r="B9" s="31" t="s">
        <v>70</v>
      </c>
      <c r="C9" s="31" t="s">
        <v>74</v>
      </c>
      <c r="D9" s="31" t="s">
        <v>76</v>
      </c>
      <c r="E9" s="31" t="s">
        <v>77</v>
      </c>
      <c r="F9" s="37">
        <v>172.35</v>
      </c>
      <c r="G9" s="38">
        <v>3</v>
      </c>
      <c r="H9" s="37">
        <f t="shared" si="0"/>
        <v>517.04999999999995</v>
      </c>
      <c r="I9" s="32">
        <f>H9/SUM(H2:H12)</f>
        <v>1.9765686493007941E-2</v>
      </c>
      <c r="J9" s="39">
        <v>261.05</v>
      </c>
      <c r="K9" s="40">
        <f t="shared" si="2"/>
        <v>783.15000000000009</v>
      </c>
      <c r="L9" s="35">
        <f t="shared" si="1"/>
        <v>0.5146504206556427</v>
      </c>
      <c r="M9" s="36">
        <f t="shared" si="3"/>
        <v>1.9733882987636557E-2</v>
      </c>
    </row>
    <row r="10" spans="1:13" x14ac:dyDescent="0.35">
      <c r="A10" s="44" t="s">
        <v>90</v>
      </c>
      <c r="B10" s="31" t="s">
        <v>71</v>
      </c>
      <c r="C10" s="31" t="s">
        <v>74</v>
      </c>
      <c r="D10" s="31" t="s">
        <v>76</v>
      </c>
      <c r="E10" s="31" t="s">
        <v>77</v>
      </c>
      <c r="F10" s="37">
        <v>8.8800000000000008</v>
      </c>
      <c r="G10" s="38">
        <v>23</v>
      </c>
      <c r="H10" s="37">
        <f t="shared" si="0"/>
        <v>204.24</v>
      </c>
      <c r="I10" s="32">
        <f>H10/SUM(H2:H12)</f>
        <v>7.8076468607135522E-3</v>
      </c>
      <c r="J10" s="39">
        <v>11.69</v>
      </c>
      <c r="K10" s="40">
        <f t="shared" si="2"/>
        <v>268.87</v>
      </c>
      <c r="L10" s="35">
        <f t="shared" si="1"/>
        <v>0.31644144144144126</v>
      </c>
      <c r="M10" s="36">
        <f t="shared" si="3"/>
        <v>6.7750100477377779E-3</v>
      </c>
    </row>
    <row r="11" spans="1:13" ht="29" x14ac:dyDescent="0.35">
      <c r="A11" s="44" t="s">
        <v>89</v>
      </c>
      <c r="B11" s="31" t="s">
        <v>72</v>
      </c>
      <c r="C11" s="31" t="s">
        <v>75</v>
      </c>
      <c r="D11" s="31" t="s">
        <v>76</v>
      </c>
      <c r="E11" s="31" t="s">
        <v>77</v>
      </c>
      <c r="F11" s="37">
        <v>253.02</v>
      </c>
      <c r="G11" s="38">
        <v>20</v>
      </c>
      <c r="H11" s="37">
        <f t="shared" si="0"/>
        <v>5060.4000000000005</v>
      </c>
      <c r="I11" s="32">
        <f>H11/SUM(H2:H12)</f>
        <v>0.19344798361709198</v>
      </c>
      <c r="J11" s="39">
        <v>333.3</v>
      </c>
      <c r="K11" s="40">
        <f t="shared" si="2"/>
        <v>6666</v>
      </c>
      <c r="L11" s="35">
        <f t="shared" si="1"/>
        <v>0.3172871709746265</v>
      </c>
      <c r="M11" s="36">
        <f t="shared" si="3"/>
        <v>0.16797045776107422</v>
      </c>
    </row>
    <row r="12" spans="1:13" ht="29" x14ac:dyDescent="0.35">
      <c r="A12" s="50" t="s">
        <v>91</v>
      </c>
      <c r="B12" s="51" t="s">
        <v>73</v>
      </c>
      <c r="C12" s="51" t="s">
        <v>75</v>
      </c>
      <c r="D12" s="51" t="s">
        <v>76</v>
      </c>
      <c r="E12" s="51" t="s">
        <v>77</v>
      </c>
      <c r="F12" s="52">
        <v>31.77</v>
      </c>
      <c r="G12" s="53">
        <v>50</v>
      </c>
      <c r="H12" s="52">
        <f t="shared" si="0"/>
        <v>1588.5</v>
      </c>
      <c r="I12" s="54">
        <f>H12/SUM(H2:H12)</f>
        <v>6.0724867989832933E-2</v>
      </c>
      <c r="J12" s="55">
        <v>48.84</v>
      </c>
      <c r="K12" s="56">
        <f t="shared" si="2"/>
        <v>2442</v>
      </c>
      <c r="L12" s="57">
        <f t="shared" si="1"/>
        <v>0.5372993389990558</v>
      </c>
      <c r="M12" s="58">
        <f t="shared" si="3"/>
        <v>6.1533732051086601E-2</v>
      </c>
    </row>
  </sheetData>
  <conditionalFormatting sqref="L2:L12">
    <cfRule type="cellIs" dxfId="3" priority="1" operator="greaterThan">
      <formula>0</formula>
    </cfRule>
    <cfRule type="cellIs" dxfId="2" priority="2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9977C-9CA3-4B9E-9566-1D1AB3366C90}">
  <dimension ref="A1:I64"/>
  <sheetViews>
    <sheetView tabSelected="1" workbookViewId="0">
      <selection activeCell="A18" sqref="A18"/>
    </sheetView>
  </sheetViews>
  <sheetFormatPr defaultRowHeight="14.5" x14ac:dyDescent="0.35"/>
  <cols>
    <col min="1" max="1" width="45" customWidth="1"/>
    <col min="2" max="2" width="13.453125" customWidth="1"/>
    <col min="3" max="3" width="14.1796875" customWidth="1"/>
    <col min="4" max="4" width="12.1796875" customWidth="1"/>
    <col min="5" max="5" width="13.36328125" bestFit="1" customWidth="1"/>
    <col min="6" max="6" width="14.1796875" bestFit="1" customWidth="1"/>
    <col min="7" max="7" width="17.08984375" bestFit="1" customWidth="1"/>
    <col min="8" max="8" width="17.08984375" customWidth="1"/>
    <col min="9" max="9" width="10.36328125" customWidth="1"/>
    <col min="10" max="10" width="13.08984375" bestFit="1" customWidth="1"/>
  </cols>
  <sheetData>
    <row r="1" spans="1:9" ht="15" thickBot="1" x14ac:dyDescent="0.4">
      <c r="A1" s="59" t="s">
        <v>0</v>
      </c>
      <c r="B1" s="60" t="s">
        <v>1</v>
      </c>
      <c r="C1" s="60" t="s">
        <v>2</v>
      </c>
      <c r="D1" s="60" t="s">
        <v>3</v>
      </c>
      <c r="E1" s="61" t="s">
        <v>11</v>
      </c>
      <c r="F1" s="60" t="s">
        <v>4</v>
      </c>
      <c r="G1" s="60" t="s">
        <v>6</v>
      </c>
      <c r="H1" s="60" t="s">
        <v>5</v>
      </c>
      <c r="I1" s="62" t="s">
        <v>10</v>
      </c>
    </row>
    <row r="2" spans="1:9" x14ac:dyDescent="0.35">
      <c r="A2" s="24" t="s">
        <v>30</v>
      </c>
      <c r="B2" s="13">
        <v>85.38</v>
      </c>
      <c r="C2" s="11">
        <v>39</v>
      </c>
      <c r="D2" s="13">
        <f t="shared" ref="D2:D13" si="0">B2*C2</f>
        <v>3329.8199999999997</v>
      </c>
      <c r="E2" s="17">
        <f>D2/SUM(D2:D13)</f>
        <v>0.12267273014629788</v>
      </c>
      <c r="F2" s="14">
        <v>185.81</v>
      </c>
      <c r="G2" s="15">
        <f>C2*F2</f>
        <v>7246.59</v>
      </c>
      <c r="H2" s="5">
        <f t="shared" ref="H2:H13" si="1">(F2-B2)/B2</f>
        <v>1.1762707894120403</v>
      </c>
      <c r="I2" s="16">
        <f>G2/SUM(G:G)</f>
        <v>0.17589310181866816</v>
      </c>
    </row>
    <row r="3" spans="1:9" x14ac:dyDescent="0.35">
      <c r="A3" s="24" t="s">
        <v>19</v>
      </c>
      <c r="B3" s="2">
        <v>2.2999999999999998</v>
      </c>
      <c r="C3" s="3">
        <v>700</v>
      </c>
      <c r="D3" s="2">
        <f t="shared" si="0"/>
        <v>1609.9999999999998</v>
      </c>
      <c r="E3" s="17">
        <f>D3/SUM(D2:D13)</f>
        <v>5.9313445031725316E-2</v>
      </c>
      <c r="F3" s="4">
        <v>3.15</v>
      </c>
      <c r="G3" s="6">
        <f t="shared" ref="G3:G13" si="2">C3*F3</f>
        <v>2205</v>
      </c>
      <c r="H3" s="5">
        <f t="shared" si="1"/>
        <v>0.36956521739130443</v>
      </c>
      <c r="I3" s="16">
        <f t="shared" ref="I3:I13" si="3">G3/SUM(G:G)</f>
        <v>5.3520937366425207E-2</v>
      </c>
    </row>
    <row r="4" spans="1:9" x14ac:dyDescent="0.35">
      <c r="A4" s="24" t="s">
        <v>20</v>
      </c>
      <c r="B4" s="2">
        <v>1.33</v>
      </c>
      <c r="C4" s="3">
        <v>5000</v>
      </c>
      <c r="D4" s="2">
        <f t="shared" si="0"/>
        <v>6650</v>
      </c>
      <c r="E4" s="17">
        <f>D4/SUM(D2:D13)</f>
        <v>0.24499031643538721</v>
      </c>
      <c r="F4" s="4">
        <v>1.08</v>
      </c>
      <c r="G4" s="6">
        <f t="shared" si="2"/>
        <v>5400</v>
      </c>
      <c r="H4" s="5">
        <f t="shared" si="1"/>
        <v>-0.18796992481203006</v>
      </c>
      <c r="I4" s="16">
        <f t="shared" si="3"/>
        <v>0.13107168334634745</v>
      </c>
    </row>
    <row r="5" spans="1:9" x14ac:dyDescent="0.35">
      <c r="A5" s="24" t="s">
        <v>21</v>
      </c>
      <c r="B5" s="2">
        <v>30.78</v>
      </c>
      <c r="C5" s="3">
        <v>32</v>
      </c>
      <c r="D5" s="8">
        <f t="shared" si="0"/>
        <v>984.96</v>
      </c>
      <c r="E5" s="17">
        <f>D5/SUM(D2:D13)</f>
        <v>3.6286565725744208E-2</v>
      </c>
      <c r="F5" s="4">
        <v>47.29</v>
      </c>
      <c r="G5" s="6">
        <f t="shared" si="2"/>
        <v>1513.28</v>
      </c>
      <c r="H5" s="5">
        <f t="shared" si="1"/>
        <v>0.53638726445743978</v>
      </c>
      <c r="I5" s="16">
        <f t="shared" si="3"/>
        <v>3.6731140180437161E-2</v>
      </c>
    </row>
    <row r="6" spans="1:9" x14ac:dyDescent="0.35">
      <c r="A6" s="24" t="s">
        <v>22</v>
      </c>
      <c r="B6" s="2">
        <v>160.43</v>
      </c>
      <c r="C6" s="3">
        <v>7</v>
      </c>
      <c r="D6" s="2">
        <f t="shared" si="0"/>
        <v>1123.01</v>
      </c>
      <c r="E6" s="17">
        <f>D6/SUM(D2:D13)</f>
        <v>4.1372417332346492E-2</v>
      </c>
      <c r="F6" s="4">
        <v>220.97</v>
      </c>
      <c r="G6" s="6">
        <f t="shared" si="2"/>
        <v>1546.79</v>
      </c>
      <c r="H6" s="5">
        <f t="shared" si="1"/>
        <v>0.37736084273514919</v>
      </c>
      <c r="I6" s="16">
        <f t="shared" si="3"/>
        <v>3.7544512793203103E-2</v>
      </c>
    </row>
    <row r="7" spans="1:9" x14ac:dyDescent="0.35">
      <c r="A7" s="24" t="s">
        <v>23</v>
      </c>
      <c r="B7" s="2">
        <v>32.270000000000003</v>
      </c>
      <c r="C7" s="9">
        <v>45</v>
      </c>
      <c r="D7" s="8">
        <f t="shared" si="0"/>
        <v>1452.15</v>
      </c>
      <c r="E7" s="17">
        <f>D7/SUM(D2:D13)</f>
        <v>5.3498148573180082E-2</v>
      </c>
      <c r="F7" s="4">
        <v>62.2</v>
      </c>
      <c r="G7" s="6">
        <f t="shared" si="2"/>
        <v>2799</v>
      </c>
      <c r="H7" s="5">
        <f t="shared" si="1"/>
        <v>0.92748682987294695</v>
      </c>
      <c r="I7" s="16">
        <f t="shared" si="3"/>
        <v>6.7938822534523435E-2</v>
      </c>
    </row>
    <row r="8" spans="1:9" x14ac:dyDescent="0.35">
      <c r="A8" s="24" t="s">
        <v>24</v>
      </c>
      <c r="B8" s="2">
        <v>14.31</v>
      </c>
      <c r="C8" s="9">
        <v>200</v>
      </c>
      <c r="D8" s="8">
        <f t="shared" si="0"/>
        <v>2862</v>
      </c>
      <c r="E8" s="17">
        <f>D8/SUM(D2:D13)</f>
        <v>0.10543793768993658</v>
      </c>
      <c r="F8" s="4">
        <v>34.31</v>
      </c>
      <c r="G8" s="6">
        <f t="shared" si="2"/>
        <v>6862</v>
      </c>
      <c r="H8" s="5">
        <f t="shared" si="1"/>
        <v>1.3976240391334731</v>
      </c>
      <c r="I8" s="16">
        <f t="shared" si="3"/>
        <v>0.16655812798567338</v>
      </c>
    </row>
    <row r="9" spans="1:9" x14ac:dyDescent="0.35">
      <c r="A9" s="24" t="s">
        <v>25</v>
      </c>
      <c r="B9" s="2">
        <v>0.23</v>
      </c>
      <c r="C9" s="9">
        <v>7660</v>
      </c>
      <c r="D9" s="10">
        <f t="shared" si="0"/>
        <v>1761.8000000000002</v>
      </c>
      <c r="E9" s="17">
        <f>D9/SUM(D2:D13)</f>
        <v>6.4905855563287998E-2</v>
      </c>
      <c r="F9" s="4">
        <v>0.45250000000000001</v>
      </c>
      <c r="G9" s="6">
        <f t="shared" si="2"/>
        <v>3466.15</v>
      </c>
      <c r="H9" s="5">
        <f t="shared" si="1"/>
        <v>0.96739130434782605</v>
      </c>
      <c r="I9" s="16">
        <f t="shared" si="3"/>
        <v>8.4132243561285597E-2</v>
      </c>
    </row>
    <row r="10" spans="1:9" x14ac:dyDescent="0.35">
      <c r="A10" s="24" t="s">
        <v>26</v>
      </c>
      <c r="B10" s="2">
        <v>172.35</v>
      </c>
      <c r="C10" s="3">
        <v>3</v>
      </c>
      <c r="D10" s="2">
        <f t="shared" si="0"/>
        <v>517.04999999999995</v>
      </c>
      <c r="E10" s="17">
        <f>D10/SUM(D2:D13)</f>
        <v>1.9048457610964954E-2</v>
      </c>
      <c r="F10" s="4">
        <v>261.05</v>
      </c>
      <c r="G10" s="6">
        <f t="shared" si="2"/>
        <v>783.15000000000009</v>
      </c>
      <c r="H10" s="5">
        <f t="shared" si="1"/>
        <v>0.5146504206556427</v>
      </c>
      <c r="I10" s="16">
        <f t="shared" si="3"/>
        <v>1.9009034965313337E-2</v>
      </c>
    </row>
    <row r="11" spans="1:9" x14ac:dyDescent="0.35">
      <c r="A11" s="24" t="s">
        <v>27</v>
      </c>
      <c r="B11" s="2">
        <v>8.8800000000000008</v>
      </c>
      <c r="C11" s="3">
        <v>23</v>
      </c>
      <c r="D11" s="2">
        <f t="shared" si="0"/>
        <v>204.24</v>
      </c>
      <c r="E11" s="17">
        <f>D11/SUM(D2:D13)</f>
        <v>7.5243341697388702E-3</v>
      </c>
      <c r="F11" s="4">
        <v>11.69</v>
      </c>
      <c r="G11" s="6">
        <f t="shared" si="2"/>
        <v>268.87</v>
      </c>
      <c r="H11" s="5">
        <f t="shared" si="1"/>
        <v>0.31644144144144126</v>
      </c>
      <c r="I11" s="16">
        <f t="shared" si="3"/>
        <v>6.526156203950452E-3</v>
      </c>
    </row>
    <row r="12" spans="1:9" x14ac:dyDescent="0.35">
      <c r="A12" s="24" t="s">
        <v>28</v>
      </c>
      <c r="B12" s="2">
        <v>253.02</v>
      </c>
      <c r="C12" s="3">
        <v>20</v>
      </c>
      <c r="D12" s="2">
        <f t="shared" si="0"/>
        <v>5060.4000000000005</v>
      </c>
      <c r="E12" s="17">
        <f>D12/SUM(D2:D13)</f>
        <v>0.18642842064505769</v>
      </c>
      <c r="F12" s="4">
        <v>333.3</v>
      </c>
      <c r="G12" s="6">
        <f t="shared" si="2"/>
        <v>6666</v>
      </c>
      <c r="H12" s="5">
        <f t="shared" si="1"/>
        <v>0.3172871709746265</v>
      </c>
      <c r="I12" s="16">
        <f t="shared" si="3"/>
        <v>0.16180071133088003</v>
      </c>
    </row>
    <row r="13" spans="1:9" x14ac:dyDescent="0.35">
      <c r="A13" s="24" t="s">
        <v>29</v>
      </c>
      <c r="B13" s="2">
        <v>31.77</v>
      </c>
      <c r="C13" s="3">
        <v>50</v>
      </c>
      <c r="D13" s="2">
        <f t="shared" si="0"/>
        <v>1588.5</v>
      </c>
      <c r="E13" s="17">
        <f>D13/SUM(D2:D13)</f>
        <v>5.8521371076332721E-2</v>
      </c>
      <c r="F13" s="4">
        <v>48.84</v>
      </c>
      <c r="G13" s="6">
        <f t="shared" si="2"/>
        <v>2442</v>
      </c>
      <c r="H13" s="5">
        <f t="shared" si="1"/>
        <v>0.5372993389990558</v>
      </c>
      <c r="I13" s="16">
        <f t="shared" si="3"/>
        <v>5.9273527913292684E-2</v>
      </c>
    </row>
    <row r="14" spans="1:9" ht="13.75" customHeight="1" x14ac:dyDescent="0.35">
      <c r="G14" s="23"/>
    </row>
    <row r="15" spans="1:9" ht="13.75" customHeight="1" x14ac:dyDescent="0.35"/>
    <row r="26" ht="13.75" customHeight="1" x14ac:dyDescent="0.35"/>
    <row r="62" spans="3:3" x14ac:dyDescent="0.35">
      <c r="C62" s="20"/>
    </row>
    <row r="63" spans="3:3" x14ac:dyDescent="0.35">
      <c r="C63" s="21"/>
    </row>
    <row r="64" spans="3:3" x14ac:dyDescent="0.35">
      <c r="C64" s="22"/>
    </row>
  </sheetData>
  <conditionalFormatting sqref="H2:H13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88E60-EFAD-42B2-9DF0-E0F145ADFABF}">
  <dimension ref="A1:K25"/>
  <sheetViews>
    <sheetView showGridLines="0" workbookViewId="0">
      <selection activeCell="E16" sqref="E16"/>
    </sheetView>
  </sheetViews>
  <sheetFormatPr defaultRowHeight="14.5" x14ac:dyDescent="0.35"/>
  <cols>
    <col min="1" max="1" width="10.7265625" customWidth="1"/>
    <col min="3" max="3" width="10.7265625" customWidth="1"/>
    <col min="4" max="4" width="9.1796875" customWidth="1"/>
    <col min="5" max="5" width="11.6328125" customWidth="1"/>
    <col min="6" max="6" width="12.26953125" customWidth="1"/>
    <col min="7" max="7" width="12.08984375" customWidth="1"/>
    <col min="8" max="9" width="11.7265625" customWidth="1"/>
    <col min="10" max="10" width="12.08984375" bestFit="1" customWidth="1"/>
    <col min="11" max="11" width="9.81640625" bestFit="1" customWidth="1"/>
  </cols>
  <sheetData>
    <row r="1" spans="1:11" ht="15.5" x14ac:dyDescent="0.35">
      <c r="A1" s="18" t="s">
        <v>87</v>
      </c>
      <c r="B1" t="s">
        <v>86</v>
      </c>
      <c r="C1" s="18" t="s">
        <v>33</v>
      </c>
      <c r="D1" s="18" t="s">
        <v>12</v>
      </c>
      <c r="E1" s="18" t="s">
        <v>13</v>
      </c>
      <c r="F1" s="18" t="s">
        <v>14</v>
      </c>
      <c r="G1" s="18" t="s">
        <v>15</v>
      </c>
      <c r="H1" s="18" t="s">
        <v>16</v>
      </c>
      <c r="I1" s="18" t="s">
        <v>80</v>
      </c>
      <c r="J1" s="18" t="s">
        <v>17</v>
      </c>
      <c r="K1" s="18" t="s">
        <v>18</v>
      </c>
    </row>
    <row r="2" spans="1:11" x14ac:dyDescent="0.35">
      <c r="A2" s="1">
        <v>1</v>
      </c>
      <c r="B2" s="1" t="s">
        <v>31</v>
      </c>
      <c r="C2" s="1" t="s">
        <v>48</v>
      </c>
      <c r="D2" s="1">
        <v>32</v>
      </c>
      <c r="E2" s="25" t="s">
        <v>32</v>
      </c>
      <c r="F2" s="25">
        <v>46050</v>
      </c>
      <c r="G2" s="2">
        <v>30.78</v>
      </c>
      <c r="H2" s="2">
        <v>47.87</v>
      </c>
      <c r="I2" s="7">
        <v>1.33</v>
      </c>
      <c r="J2" s="7">
        <f t="shared" ref="J2" si="0">(H2*D2)-(G2*D2)-I2</f>
        <v>545.54999999999984</v>
      </c>
      <c r="K2" s="19">
        <f t="shared" ref="K2" si="1">J2/(G2*D2)</f>
        <v>0.55388036062378154</v>
      </c>
    </row>
    <row r="3" spans="1:11" x14ac:dyDescent="0.35">
      <c r="A3" s="1"/>
      <c r="C3" s="1"/>
      <c r="D3" s="1"/>
      <c r="E3" s="1"/>
      <c r="F3" s="1"/>
      <c r="G3" s="1"/>
      <c r="H3" s="1"/>
      <c r="I3" s="1"/>
      <c r="J3" s="7"/>
      <c r="K3" s="19"/>
    </row>
    <row r="4" spans="1:11" x14ac:dyDescent="0.35">
      <c r="A4" s="1"/>
      <c r="C4" s="1"/>
      <c r="D4" s="1"/>
      <c r="E4" s="1"/>
      <c r="F4" s="1"/>
      <c r="G4" s="1"/>
      <c r="H4" s="1"/>
      <c r="I4" s="1"/>
      <c r="J4" s="7"/>
      <c r="K4" s="19"/>
    </row>
    <row r="5" spans="1:11" x14ac:dyDescent="0.35">
      <c r="A5" s="1"/>
      <c r="C5" s="1"/>
      <c r="D5" s="1"/>
      <c r="E5" s="1"/>
      <c r="F5" s="1"/>
      <c r="G5" s="1"/>
      <c r="H5" s="1"/>
      <c r="I5" s="1"/>
      <c r="J5" s="7"/>
      <c r="K5" s="19"/>
    </row>
    <row r="6" spans="1:11" x14ac:dyDescent="0.35">
      <c r="A6" s="1"/>
      <c r="C6" s="1"/>
      <c r="D6" s="1"/>
      <c r="E6" s="1"/>
      <c r="F6" s="1"/>
      <c r="G6" s="1"/>
      <c r="H6" s="1"/>
      <c r="I6" s="1"/>
      <c r="J6" s="7"/>
      <c r="K6" s="19"/>
    </row>
    <row r="7" spans="1:11" x14ac:dyDescent="0.35">
      <c r="A7" s="1"/>
      <c r="C7" s="1"/>
      <c r="D7" s="1"/>
      <c r="E7" s="1"/>
      <c r="F7" s="1"/>
      <c r="G7" s="1"/>
      <c r="H7" s="1"/>
      <c r="I7" s="1"/>
      <c r="J7" s="7"/>
      <c r="K7" s="19"/>
    </row>
    <row r="8" spans="1:11" x14ac:dyDescent="0.35">
      <c r="A8" s="1"/>
      <c r="C8" s="1"/>
      <c r="D8" s="1"/>
      <c r="E8" s="1"/>
      <c r="F8" s="1"/>
      <c r="G8" s="1"/>
      <c r="H8" s="1"/>
      <c r="I8" s="1"/>
      <c r="J8" s="7"/>
      <c r="K8" s="19"/>
    </row>
    <row r="9" spans="1:11" x14ac:dyDescent="0.35">
      <c r="A9" s="1"/>
      <c r="C9" s="1"/>
      <c r="D9" s="1"/>
      <c r="E9" s="1"/>
      <c r="F9" s="1"/>
      <c r="G9" s="1"/>
      <c r="H9" s="1"/>
      <c r="I9" s="1"/>
      <c r="J9" s="7"/>
      <c r="K9" s="19"/>
    </row>
    <row r="10" spans="1:11" x14ac:dyDescent="0.35">
      <c r="A10" s="1"/>
      <c r="C10" s="1"/>
      <c r="D10" s="1"/>
      <c r="E10" s="1"/>
      <c r="F10" s="1"/>
      <c r="G10" s="1"/>
      <c r="H10" s="1"/>
      <c r="I10" s="1"/>
      <c r="J10" s="7"/>
      <c r="K10" s="19"/>
    </row>
    <row r="11" spans="1:11" x14ac:dyDescent="0.35">
      <c r="A11" s="1"/>
      <c r="C11" s="1"/>
      <c r="D11" s="1"/>
      <c r="E11" s="1"/>
      <c r="F11" s="1"/>
      <c r="G11" s="1"/>
      <c r="H11" s="1"/>
      <c r="I11" s="1"/>
      <c r="J11" s="7"/>
      <c r="K11" s="19"/>
    </row>
    <row r="12" spans="1:11" x14ac:dyDescent="0.35">
      <c r="A12" s="1"/>
      <c r="C12" s="1"/>
      <c r="D12" s="1"/>
      <c r="E12" s="1"/>
      <c r="F12" s="1"/>
      <c r="G12" s="1"/>
      <c r="H12" s="1"/>
      <c r="I12" s="1"/>
      <c r="J12" s="7"/>
      <c r="K12" s="19"/>
    </row>
    <row r="13" spans="1:11" x14ac:dyDescent="0.35">
      <c r="A13" s="1"/>
      <c r="C13" s="1"/>
      <c r="D13" s="1"/>
      <c r="E13" s="1"/>
      <c r="F13" s="1"/>
      <c r="G13" s="1"/>
      <c r="H13" s="1"/>
      <c r="I13" s="1"/>
      <c r="J13" s="7"/>
      <c r="K13" s="19"/>
    </row>
    <row r="14" spans="1:11" x14ac:dyDescent="0.35">
      <c r="A14" s="1"/>
      <c r="C14" s="1"/>
      <c r="D14" s="1"/>
      <c r="E14" s="1"/>
      <c r="F14" s="1"/>
      <c r="G14" s="1"/>
      <c r="H14" s="1"/>
      <c r="I14" s="1"/>
      <c r="J14" s="7"/>
      <c r="K14" s="19"/>
    </row>
    <row r="15" spans="1:11" x14ac:dyDescent="0.35">
      <c r="A15" s="1"/>
      <c r="C15" s="1"/>
      <c r="D15" s="1"/>
      <c r="E15" s="1"/>
      <c r="F15" s="1"/>
      <c r="G15" s="1"/>
      <c r="H15" s="1"/>
      <c r="I15" s="1"/>
      <c r="J15" s="7"/>
      <c r="K15" s="19"/>
    </row>
    <row r="16" spans="1:11" x14ac:dyDescent="0.35">
      <c r="A16" s="1"/>
      <c r="C16" s="1"/>
      <c r="D16" s="1"/>
      <c r="E16" s="1"/>
      <c r="F16" s="1"/>
      <c r="G16" s="1"/>
      <c r="H16" s="1"/>
      <c r="I16" s="1"/>
      <c r="J16" s="7"/>
      <c r="K16" s="19"/>
    </row>
    <row r="17" spans="1:11" x14ac:dyDescent="0.35">
      <c r="A17" s="1"/>
      <c r="C17" s="1"/>
      <c r="D17" s="1"/>
      <c r="E17" s="1"/>
      <c r="F17" s="1"/>
      <c r="G17" s="1"/>
      <c r="H17" s="1"/>
      <c r="I17" s="1"/>
      <c r="J17" s="7"/>
      <c r="K17" s="19"/>
    </row>
    <row r="18" spans="1:11" x14ac:dyDescent="0.35">
      <c r="A18" s="1"/>
      <c r="C18" s="1"/>
      <c r="D18" s="1"/>
      <c r="E18" s="1"/>
      <c r="F18" s="1"/>
      <c r="G18" s="1"/>
      <c r="H18" s="1"/>
      <c r="I18" s="1"/>
      <c r="J18" s="7"/>
      <c r="K18" s="19"/>
    </row>
    <row r="19" spans="1:11" x14ac:dyDescent="0.35">
      <c r="A19" s="1"/>
      <c r="C19" s="1"/>
      <c r="D19" s="1"/>
      <c r="E19" s="1"/>
      <c r="F19" s="1"/>
      <c r="G19" s="1"/>
      <c r="H19" s="1"/>
      <c r="I19" s="1"/>
      <c r="J19" s="7"/>
      <c r="K19" s="19"/>
    </row>
    <row r="20" spans="1:11" x14ac:dyDescent="0.35">
      <c r="A20" s="1"/>
      <c r="C20" s="1"/>
      <c r="D20" s="1"/>
      <c r="E20" s="1"/>
      <c r="F20" s="1"/>
      <c r="G20" s="1"/>
      <c r="H20" s="1"/>
      <c r="I20" s="1"/>
      <c r="J20" s="7"/>
      <c r="K20" s="19"/>
    </row>
    <row r="21" spans="1:11" x14ac:dyDescent="0.35">
      <c r="A21" s="1"/>
      <c r="C21" s="1"/>
      <c r="D21" s="1"/>
      <c r="J21" s="7"/>
      <c r="K21" s="19"/>
    </row>
    <row r="22" spans="1:11" x14ac:dyDescent="0.35">
      <c r="A22" s="1"/>
      <c r="C22" s="1"/>
      <c r="D22" s="1"/>
      <c r="J22" s="7"/>
      <c r="K22" s="19"/>
    </row>
    <row r="23" spans="1:11" x14ac:dyDescent="0.35">
      <c r="A23" s="1"/>
      <c r="C23" s="1"/>
      <c r="D23" s="1"/>
      <c r="J23" s="7"/>
      <c r="K23" s="19"/>
    </row>
    <row r="24" spans="1:11" x14ac:dyDescent="0.35">
      <c r="A24" s="1"/>
      <c r="C24" s="1"/>
      <c r="D24" s="1"/>
      <c r="J24" s="7"/>
      <c r="K24" s="19"/>
    </row>
    <row r="25" spans="1:11" x14ac:dyDescent="0.35">
      <c r="A25" s="1"/>
      <c r="C25" s="1"/>
      <c r="D25" s="1"/>
      <c r="J25" s="7"/>
      <c r="K25" s="19"/>
    </row>
  </sheetData>
  <phoneticPr fontId="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AEF1A-C501-4E36-859B-38E31EEE5499}">
  <dimension ref="A1:Q17"/>
  <sheetViews>
    <sheetView topLeftCell="C1" workbookViewId="0">
      <selection activeCell="J14" sqref="J14"/>
    </sheetView>
  </sheetViews>
  <sheetFormatPr defaultRowHeight="14.5" x14ac:dyDescent="0.35"/>
  <cols>
    <col min="1" max="1" width="18.7265625" bestFit="1" customWidth="1"/>
    <col min="5" max="5" width="9.26953125" bestFit="1" customWidth="1"/>
    <col min="6" max="7" width="13.7265625" bestFit="1" customWidth="1"/>
    <col min="9" max="9" width="17" bestFit="1" customWidth="1"/>
    <col min="10" max="10" width="21.54296875" bestFit="1" customWidth="1"/>
    <col min="11" max="11" width="11.36328125" bestFit="1" customWidth="1"/>
    <col min="12" max="12" width="9.54296875" customWidth="1"/>
    <col min="13" max="13" width="16.81640625" bestFit="1" customWidth="1"/>
    <col min="14" max="14" width="16.81640625" customWidth="1"/>
    <col min="15" max="15" width="9.54296875" customWidth="1"/>
    <col min="17" max="17" width="10.6328125" customWidth="1"/>
  </cols>
  <sheetData>
    <row r="1" spans="1:17" ht="15" thickBot="1" x14ac:dyDescent="0.4">
      <c r="A1" t="s">
        <v>81</v>
      </c>
      <c r="B1" t="s">
        <v>9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82</v>
      </c>
      <c r="O1" t="s">
        <v>44</v>
      </c>
      <c r="Q1" s="28" t="s">
        <v>59</v>
      </c>
    </row>
    <row r="2" spans="1:17" ht="15" thickBot="1" x14ac:dyDescent="0.4">
      <c r="A2" t="s">
        <v>46</v>
      </c>
      <c r="B2" s="26" t="s">
        <v>45</v>
      </c>
      <c r="C2" t="s">
        <v>47</v>
      </c>
      <c r="D2" t="s">
        <v>48</v>
      </c>
      <c r="E2" s="12">
        <v>39</v>
      </c>
      <c r="F2" s="26" t="s">
        <v>49</v>
      </c>
      <c r="G2">
        <v>2</v>
      </c>
      <c r="H2" s="12">
        <v>0.5</v>
      </c>
      <c r="I2" s="27">
        <f>H2*G2*100</f>
        <v>100</v>
      </c>
      <c r="J2" s="12">
        <v>1.33</v>
      </c>
      <c r="K2" s="26" t="s">
        <v>52</v>
      </c>
      <c r="L2" s="12">
        <v>0</v>
      </c>
      <c r="M2" s="12">
        <v>0</v>
      </c>
      <c r="N2" s="12" t="s">
        <v>83</v>
      </c>
      <c r="O2" s="12">
        <f>I2-J2-(L2*100*G2)-M2</f>
        <v>98.67</v>
      </c>
      <c r="Q2" s="29">
        <f>SUM(O:O)</f>
        <v>973.34000000000015</v>
      </c>
    </row>
    <row r="3" spans="1:17" x14ac:dyDescent="0.35">
      <c r="A3" t="s">
        <v>46</v>
      </c>
      <c r="B3" s="26" t="s">
        <v>50</v>
      </c>
      <c r="C3" t="s">
        <v>47</v>
      </c>
      <c r="D3" t="s">
        <v>48</v>
      </c>
      <c r="E3" s="12">
        <v>39.5</v>
      </c>
      <c r="F3" s="26" t="s">
        <v>55</v>
      </c>
      <c r="G3">
        <v>2</v>
      </c>
      <c r="H3" s="12">
        <v>0.6</v>
      </c>
      <c r="I3" s="27">
        <f>H3*G3*100</f>
        <v>120</v>
      </c>
      <c r="J3" s="12">
        <v>1.33</v>
      </c>
      <c r="K3" s="26" t="s">
        <v>51</v>
      </c>
      <c r="L3" s="12">
        <v>0.05</v>
      </c>
      <c r="M3" s="12">
        <v>0.02</v>
      </c>
      <c r="N3" s="12" t="s">
        <v>84</v>
      </c>
      <c r="O3" s="12">
        <f>I3-J3-(L3*100*G3)-M3</f>
        <v>108.65</v>
      </c>
    </row>
    <row r="4" spans="1:17" x14ac:dyDescent="0.35">
      <c r="A4" t="s">
        <v>46</v>
      </c>
      <c r="B4" s="26" t="s">
        <v>53</v>
      </c>
      <c r="C4" t="s">
        <v>47</v>
      </c>
      <c r="D4" t="s">
        <v>48</v>
      </c>
      <c r="E4" s="12">
        <v>40</v>
      </c>
      <c r="F4" s="26" t="s">
        <v>54</v>
      </c>
      <c r="G4">
        <v>2</v>
      </c>
      <c r="H4" s="12">
        <v>2.25</v>
      </c>
      <c r="I4" s="27">
        <f>H4*G4*100</f>
        <v>450</v>
      </c>
      <c r="J4" s="12">
        <v>1.33</v>
      </c>
      <c r="K4" s="26" t="s">
        <v>56</v>
      </c>
      <c r="L4" s="12">
        <v>0.6</v>
      </c>
      <c r="M4" s="12">
        <v>1.32</v>
      </c>
      <c r="N4" s="12" t="s">
        <v>84</v>
      </c>
      <c r="O4" s="12">
        <f>I4-J4-(L4*100*G4)-M4</f>
        <v>327.35000000000002</v>
      </c>
    </row>
    <row r="5" spans="1:17" x14ac:dyDescent="0.35">
      <c r="A5" t="s">
        <v>46</v>
      </c>
      <c r="B5" s="26" t="s">
        <v>57</v>
      </c>
      <c r="C5" t="s">
        <v>47</v>
      </c>
      <c r="D5" t="s">
        <v>48</v>
      </c>
      <c r="E5" s="12">
        <v>39</v>
      </c>
      <c r="F5" s="26" t="s">
        <v>58</v>
      </c>
      <c r="G5">
        <v>2</v>
      </c>
      <c r="H5" s="12">
        <v>2.2000000000000002</v>
      </c>
      <c r="I5" s="27">
        <f>H5*G5*100</f>
        <v>440.00000000000006</v>
      </c>
      <c r="J5" s="12">
        <v>1.33</v>
      </c>
      <c r="K5" s="26" t="s">
        <v>52</v>
      </c>
      <c r="L5" s="12">
        <v>0</v>
      </c>
      <c r="M5" s="12">
        <v>0</v>
      </c>
      <c r="N5" s="12" t="s">
        <v>85</v>
      </c>
      <c r="O5" s="12">
        <f>I5-J5-(L5*100*G5)-M5</f>
        <v>438.67000000000007</v>
      </c>
    </row>
    <row r="6" spans="1:17" x14ac:dyDescent="0.35">
      <c r="E6" s="12"/>
      <c r="F6" s="26"/>
      <c r="H6" s="12"/>
      <c r="I6" s="27"/>
      <c r="J6" s="12"/>
      <c r="K6" s="26"/>
      <c r="L6" s="12"/>
      <c r="M6" s="12"/>
      <c r="N6" s="12"/>
      <c r="O6" s="12"/>
    </row>
    <row r="7" spans="1:17" x14ac:dyDescent="0.35">
      <c r="E7" s="12"/>
      <c r="F7" s="26"/>
      <c r="H7" s="12"/>
      <c r="I7" s="27"/>
      <c r="J7" s="12"/>
      <c r="K7" s="26"/>
      <c r="L7" s="12"/>
      <c r="M7" s="12"/>
      <c r="N7" s="12"/>
      <c r="O7" s="12"/>
    </row>
    <row r="8" spans="1:17" x14ac:dyDescent="0.35">
      <c r="E8" s="12"/>
      <c r="F8" s="26"/>
      <c r="H8" s="12"/>
      <c r="I8" s="27"/>
      <c r="J8" s="12"/>
      <c r="K8" s="26"/>
      <c r="L8" s="12"/>
      <c r="M8" s="12"/>
      <c r="N8" s="12"/>
      <c r="O8" s="12"/>
    </row>
    <row r="9" spans="1:17" x14ac:dyDescent="0.35">
      <c r="E9" s="12"/>
      <c r="F9" s="26"/>
      <c r="H9" s="12"/>
      <c r="I9" s="27"/>
      <c r="J9" s="12"/>
      <c r="K9" s="26"/>
      <c r="L9" s="12"/>
      <c r="M9" s="12"/>
      <c r="N9" s="12"/>
      <c r="O9" s="12"/>
    </row>
    <row r="10" spans="1:17" x14ac:dyDescent="0.35">
      <c r="E10" s="12"/>
      <c r="F10" s="26"/>
      <c r="H10" s="12"/>
      <c r="I10" s="27"/>
      <c r="J10" s="12"/>
      <c r="K10" s="26"/>
      <c r="L10" s="12"/>
      <c r="M10" s="12"/>
      <c r="N10" s="12"/>
      <c r="O10" s="12"/>
    </row>
    <row r="11" spans="1:17" x14ac:dyDescent="0.35">
      <c r="E11" s="12"/>
      <c r="F11" s="26"/>
      <c r="H11" s="12"/>
      <c r="I11" s="27"/>
      <c r="J11" s="12"/>
      <c r="K11" s="26"/>
      <c r="L11" s="12"/>
      <c r="M11" s="12"/>
      <c r="N11" s="12"/>
      <c r="O11" s="12"/>
    </row>
    <row r="12" spans="1:17" x14ac:dyDescent="0.35">
      <c r="E12" s="12"/>
      <c r="F12" s="26"/>
      <c r="H12" s="12"/>
      <c r="I12" s="27"/>
      <c r="J12" s="12"/>
      <c r="K12" s="26"/>
      <c r="L12" s="12"/>
      <c r="M12" s="12"/>
      <c r="N12" s="12"/>
      <c r="O12" s="12"/>
    </row>
    <row r="13" spans="1:17" x14ac:dyDescent="0.35">
      <c r="E13" s="12"/>
      <c r="F13" s="26"/>
      <c r="H13" s="12"/>
      <c r="I13" s="27"/>
      <c r="J13" s="12"/>
      <c r="K13" s="26"/>
      <c r="L13" s="12"/>
      <c r="M13" s="12"/>
      <c r="N13" s="12"/>
      <c r="O13" s="12"/>
    </row>
    <row r="14" spans="1:17" x14ac:dyDescent="0.35">
      <c r="E14" s="12"/>
      <c r="F14" s="26"/>
      <c r="H14" s="12"/>
      <c r="I14" s="27"/>
      <c r="J14" s="12"/>
      <c r="K14" s="26"/>
      <c r="L14" s="12"/>
      <c r="M14" s="12"/>
      <c r="N14" s="12"/>
      <c r="O14" s="12"/>
    </row>
    <row r="15" spans="1:17" x14ac:dyDescent="0.35">
      <c r="E15" s="12"/>
      <c r="F15" s="26"/>
      <c r="H15" s="12"/>
      <c r="I15" s="27"/>
      <c r="J15" s="12"/>
      <c r="K15" s="26"/>
      <c r="L15" s="12"/>
      <c r="M15" s="12"/>
      <c r="N15" s="12"/>
      <c r="O15" s="12"/>
    </row>
    <row r="16" spans="1:17" x14ac:dyDescent="0.35">
      <c r="E16" s="12"/>
      <c r="F16" s="26"/>
      <c r="H16" s="12"/>
      <c r="I16" s="27"/>
      <c r="J16" s="12"/>
      <c r="K16" s="26"/>
      <c r="L16" s="12"/>
      <c r="M16" s="12"/>
      <c r="N16" s="12"/>
      <c r="O16" s="12"/>
    </row>
    <row r="17" spans="5:15" x14ac:dyDescent="0.35">
      <c r="E17" s="12"/>
      <c r="F17" s="26"/>
      <c r="H17" s="12"/>
      <c r="I17" s="27"/>
      <c r="J17" s="12"/>
      <c r="K17" s="26"/>
      <c r="L17" s="12"/>
      <c r="M17" s="12"/>
      <c r="N17" s="12"/>
      <c r="O17" s="12"/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Holdings</vt:lpstr>
      <vt:lpstr>Snapshot_2025</vt:lpstr>
      <vt:lpstr>Transactions</vt:lpstr>
      <vt:lpstr>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GF</dc:creator>
  <cp:lastModifiedBy>ori ron</cp:lastModifiedBy>
  <dcterms:created xsi:type="dcterms:W3CDTF">2023-02-25T12:30:40Z</dcterms:created>
  <dcterms:modified xsi:type="dcterms:W3CDTF">2026-03-08T13:47:18Z</dcterms:modified>
</cp:coreProperties>
</file>